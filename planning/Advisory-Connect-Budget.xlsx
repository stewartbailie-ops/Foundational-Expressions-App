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dia\Documents\GitHub\Advisory-Connect-Control-Panel\planning\"/>
    </mc:Choice>
  </mc:AlternateContent>
  <xr:revisionPtr revIDLastSave="0" documentId="13_ncr:1_{4788FB12-3B3D-4700-B5F5-28AF3C9E9CF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onthly Upkeep" sheetId="1" r:id="rId1"/>
    <sheet name="Costs to Date — Zeeman" sheetId="2" r:id="rId2"/>
    <sheet name="Costs to Date — Stew" sheetId="3" r:id="rId3"/>
    <sheet name="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C9" i="2"/>
  <c r="D4" i="2"/>
  <c r="D5" i="2" s="1"/>
  <c r="D6" i="2" s="1"/>
  <c r="D7" i="2" s="1"/>
  <c r="B8" i="1"/>
</calcChain>
</file>

<file path=xl/sharedStrings.xml><?xml version="1.0" encoding="utf-8"?>
<sst xmlns="http://schemas.openxmlformats.org/spreadsheetml/2006/main" count="126" uniqueCount="62">
  <si>
    <t>Advisory Connect — Monthly Upkeep Costs</t>
  </si>
  <si>
    <t>Service</t>
  </si>
  <si>
    <t>Monthly Cost (R)</t>
  </si>
  <si>
    <t>Debit Date</t>
  </si>
  <si>
    <t>Notes</t>
  </si>
  <si>
    <t>MS Business Std (Email) ×2</t>
  </si>
  <si>
    <t/>
  </si>
  <si>
    <t>Replit (App Hosting &amp; Data)</t>
  </si>
  <si>
    <t>AI Assistance (Claude Code)</t>
  </si>
  <si>
    <t>SendGrid (Auto Mails) 50k cap)</t>
  </si>
  <si>
    <t>TOTAL</t>
  </si>
  <si>
    <t>Once-off Costs Upcoming</t>
  </si>
  <si>
    <t>Cost (R)</t>
  </si>
  <si>
    <t>Due Date</t>
  </si>
  <si>
    <t>Google Play Store (Once-off)</t>
  </si>
  <si>
    <t>One-time developer account fee</t>
  </si>
  <si>
    <t>Advisory Connect — Costs to Date: Zeeman</t>
  </si>
  <si>
    <t>Date</t>
  </si>
  <si>
    <t>Description</t>
  </si>
  <si>
    <t>Amount (R)</t>
  </si>
  <si>
    <t>Running Total (R)</t>
  </si>
  <si>
    <t>25/02/2026</t>
  </si>
  <si>
    <t>Investment / Registration</t>
  </si>
  <si>
    <t>17/03/2026</t>
  </si>
  <si>
    <t>03/04/2026</t>
  </si>
  <si>
    <t>TOTAL INVESTED</t>
  </si>
  <si>
    <t>Advisory Connect — Costs to Date: Stewart</t>
  </si>
  <si>
    <t>Category</t>
  </si>
  <si>
    <t>Description / Notes</t>
  </si>
  <si>
    <t>24/01/2026</t>
  </si>
  <si>
    <t>26/02/2026</t>
  </si>
  <si>
    <t>Email</t>
  </si>
  <si>
    <t>Zoho Mail</t>
  </si>
  <si>
    <t>06/03/2026</t>
  </si>
  <si>
    <t>18/03/2026</t>
  </si>
  <si>
    <t>AI Tools</t>
  </si>
  <si>
    <t>AI Codex</t>
  </si>
  <si>
    <t>24/03/2026</t>
  </si>
  <si>
    <t>SendGrid</t>
  </si>
  <si>
    <t>26/03/2026</t>
  </si>
  <si>
    <t>29/03/2026</t>
  </si>
  <si>
    <t>News</t>
  </si>
  <si>
    <t>MoneyWeb</t>
  </si>
  <si>
    <t>14/04/2026</t>
  </si>
  <si>
    <t>18/04/2026</t>
  </si>
  <si>
    <t>22/04/2026</t>
  </si>
  <si>
    <t>Claude Code</t>
  </si>
  <si>
    <t>24/04/2026</t>
  </si>
  <si>
    <t>Microsoft 365</t>
  </si>
  <si>
    <t>Microsoft (R5159 - R5100 correction + R1999)</t>
  </si>
  <si>
    <t>29/04/2026</t>
  </si>
  <si>
    <t>TOTAL SPENT</t>
  </si>
  <si>
    <t>Advisory Connect — Budget Summary</t>
  </si>
  <si>
    <t>Item</t>
  </si>
  <si>
    <t>Monthly Upkeep (recurring)</t>
  </si>
  <si>
    <t>Google Play Store (once-off, upcoming)</t>
  </si>
  <si>
    <t>Total Invested — Zeeman</t>
  </si>
  <si>
    <t>Total Spent — Stewart</t>
  </si>
  <si>
    <t>• Add debit order dates to the Monthly Upkeep sheet once debit orders are set up</t>
  </si>
  <si>
    <t>• Stew sheet: fill in Category and Description for uncategorised rows</t>
  </si>
  <si>
    <t>• Zeeman sheet: update descriptions once payment purpose is confirmed</t>
  </si>
  <si>
    <t>Full Company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</si>
</sst>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23" sqref="B23"/>
    </sheetView>
  </sheetViews>
  <sheetFormatPr defaultRowHeight="15" x14ac:dyDescent="0.25"/>
  <cols>
    <col min="1" max="1" width="35.875" customWidth="1"/>
    <col min="2" max="2" width="18.875" customWidth="1"/>
    <col min="3" max="3" width="15.875" customWidth="1"/>
    <col min="4" max="4" width="40.875" customWidth="1"/>
  </cols>
  <sheetData>
    <row r="1" spans="1:4" ht="15.75" x14ac:dyDescent="0.25">
      <c r="A1" t="s">
        <v>0</v>
      </c>
    </row>
    <row r="3" spans="1:4" ht="15.75" x14ac:dyDescent="0.25">
      <c r="A3" t="s">
        <v>1</v>
      </c>
      <c r="B3" t="s">
        <v>2</v>
      </c>
      <c r="C3" t="s">
        <v>3</v>
      </c>
      <c r="D3" t="s">
        <v>4</v>
      </c>
    </row>
    <row r="4" spans="1:4" ht="15.75" x14ac:dyDescent="0.25">
      <c r="A4" t="s">
        <v>5</v>
      </c>
      <c r="B4">
        <v>450</v>
      </c>
      <c r="C4" t="s">
        <v>6</v>
      </c>
      <c r="D4" t="s">
        <v>6</v>
      </c>
    </row>
    <row r="5" spans="1:4" ht="15.75" x14ac:dyDescent="0.25">
      <c r="A5" t="s">
        <v>7</v>
      </c>
      <c r="B5">
        <v>500</v>
      </c>
      <c r="C5" t="s">
        <v>6</v>
      </c>
      <c r="D5" t="s">
        <v>6</v>
      </c>
    </row>
    <row r="6" spans="1:4" ht="15.75" x14ac:dyDescent="0.25">
      <c r="A6" t="s">
        <v>8</v>
      </c>
      <c r="B6">
        <v>400</v>
      </c>
      <c r="C6" t="s">
        <v>6</v>
      </c>
      <c r="D6" t="s">
        <v>6</v>
      </c>
    </row>
    <row r="7" spans="1:4" ht="15.75" x14ac:dyDescent="0.25">
      <c r="A7" t="s">
        <v>9</v>
      </c>
      <c r="B7">
        <v>350</v>
      </c>
      <c r="C7" t="s">
        <v>6</v>
      </c>
      <c r="D7" t="s">
        <v>6</v>
      </c>
    </row>
    <row r="8" spans="1:4" ht="15.75" x14ac:dyDescent="0.25">
      <c r="A8" t="s">
        <v>10</v>
      </c>
      <c r="B8">
        <f>SUM(B4:B7)</f>
        <v>1700</v>
      </c>
      <c r="C8" t="s">
        <v>6</v>
      </c>
      <c r="D8" t="s">
        <v>6</v>
      </c>
    </row>
    <row r="10" spans="1:4" ht="15.75" x14ac:dyDescent="0.25">
      <c r="A10" t="s">
        <v>11</v>
      </c>
    </row>
    <row r="11" spans="1:4" ht="15.75" x14ac:dyDescent="0.25">
      <c r="A11" t="s">
        <v>1</v>
      </c>
      <c r="B11" t="s">
        <v>12</v>
      </c>
      <c r="C11" t="s">
        <v>13</v>
      </c>
      <c r="D11" t="s">
        <v>4</v>
      </c>
    </row>
    <row r="12" spans="1:4" ht="15.75" x14ac:dyDescent="0.25">
      <c r="A12" t="s">
        <v>14</v>
      </c>
      <c r="B12">
        <v>460</v>
      </c>
      <c r="C12" t="s">
        <v>6</v>
      </c>
      <c r="D12" t="s">
        <v>15</v>
      </c>
    </row>
  </sheetData>
  <pageMargins left="0.7" right="0.7" top="0.75" bottom="0.75" header="0.3" footer="0.3"/>
  <ignoredErrors>
    <ignoredError sqref="A1:D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A8" sqref="A8"/>
    </sheetView>
  </sheetViews>
  <sheetFormatPr defaultRowHeight="15" x14ac:dyDescent="0.25"/>
  <cols>
    <col min="1" max="1" width="36.875" bestFit="1" customWidth="1"/>
    <col min="2" max="2" width="35.875" customWidth="1"/>
    <col min="3" max="4" width="18.875" customWidth="1"/>
  </cols>
  <sheetData>
    <row r="1" spans="1:4" ht="15.75" x14ac:dyDescent="0.25">
      <c r="A1" t="s">
        <v>16</v>
      </c>
    </row>
    <row r="3" spans="1:4" ht="15.75" x14ac:dyDescent="0.25">
      <c r="A3" t="s">
        <v>17</v>
      </c>
      <c r="B3" t="s">
        <v>18</v>
      </c>
      <c r="C3" t="s">
        <v>19</v>
      </c>
      <c r="D3" t="s">
        <v>20</v>
      </c>
    </row>
    <row r="4" spans="1:4" ht="15.75" x14ac:dyDescent="0.25">
      <c r="A4" t="s">
        <v>21</v>
      </c>
      <c r="B4" t="s">
        <v>22</v>
      </c>
      <c r="C4">
        <v>1200</v>
      </c>
      <c r="D4">
        <f>C4</f>
        <v>1200</v>
      </c>
    </row>
    <row r="5" spans="1:4" ht="15.75" x14ac:dyDescent="0.25">
      <c r="A5" t="s">
        <v>23</v>
      </c>
      <c r="B5" t="s">
        <v>22</v>
      </c>
      <c r="C5">
        <v>1999.99</v>
      </c>
      <c r="D5">
        <f>D4+C5</f>
        <v>3199.99</v>
      </c>
    </row>
    <row r="6" spans="1:4" ht="15.75" x14ac:dyDescent="0.25">
      <c r="A6" t="s">
        <v>24</v>
      </c>
      <c r="B6" t="s">
        <v>22</v>
      </c>
      <c r="C6">
        <v>1999.99</v>
      </c>
      <c r="D6">
        <f>D5+C6</f>
        <v>5199.9799999999996</v>
      </c>
    </row>
    <row r="7" spans="1:4" ht="15.75" x14ac:dyDescent="0.25">
      <c r="A7" t="s">
        <v>24</v>
      </c>
      <c r="B7" t="s">
        <v>61</v>
      </c>
      <c r="C7">
        <v>2170</v>
      </c>
      <c r="D7">
        <f>D6+C7</f>
        <v>7369.98</v>
      </c>
    </row>
    <row r="9" spans="1:4" ht="15.75" x14ac:dyDescent="0.25">
      <c r="A9" t="s">
        <v>25</v>
      </c>
      <c r="B9" t="s">
        <v>6</v>
      </c>
      <c r="C9">
        <f>SUM(C4:C7)</f>
        <v>7369.98</v>
      </c>
      <c r="D9" t="s">
        <v>6</v>
      </c>
    </row>
  </sheetData>
  <pageMargins left="0.7" right="0.7" top="0.75" bottom="0.75" header="0.3" footer="0.3"/>
  <ignoredErrors>
    <ignoredError sqref="A1:D6 A8:D9 A7 C7:D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tabSelected="1" workbookViewId="0">
      <selection activeCell="C16" sqref="C16"/>
    </sheetView>
  </sheetViews>
  <sheetFormatPr defaultRowHeight="15" x14ac:dyDescent="0.25"/>
  <cols>
    <col min="1" max="1" width="36.5" bestFit="1" customWidth="1"/>
    <col min="2" max="2" width="18.875" customWidth="1"/>
    <col min="3" max="3" width="45.875" customWidth="1"/>
    <col min="4" max="4" width="15.875" customWidth="1"/>
    <col min="5" max="5" width="18.875" customWidth="1"/>
  </cols>
  <sheetData>
    <row r="1" spans="1:5" ht="15.75" x14ac:dyDescent="0.25">
      <c r="A1" t="s">
        <v>26</v>
      </c>
    </row>
    <row r="3" spans="1:5" ht="15.75" x14ac:dyDescent="0.25">
      <c r="A3" t="s">
        <v>17</v>
      </c>
      <c r="B3" t="s">
        <v>27</v>
      </c>
      <c r="C3" t="s">
        <v>28</v>
      </c>
      <c r="D3" t="s">
        <v>19</v>
      </c>
      <c r="E3" t="s">
        <v>20</v>
      </c>
    </row>
    <row r="4" spans="1:5" ht="15.75" x14ac:dyDescent="0.25">
      <c r="A4" t="s">
        <v>29</v>
      </c>
      <c r="B4" t="s">
        <v>6</v>
      </c>
      <c r="C4" t="s">
        <v>6</v>
      </c>
      <c r="D4">
        <v>570</v>
      </c>
      <c r="E4">
        <f>D4</f>
        <v>570</v>
      </c>
    </row>
    <row r="5" spans="1:5" ht="15.75" x14ac:dyDescent="0.25">
      <c r="A5" t="s">
        <v>30</v>
      </c>
      <c r="B5" t="s">
        <v>31</v>
      </c>
      <c r="C5" t="s">
        <v>32</v>
      </c>
      <c r="D5">
        <v>210</v>
      </c>
      <c r="E5">
        <f t="shared" ref="E5:E23" si="0">E4+D5</f>
        <v>780</v>
      </c>
    </row>
    <row r="6" spans="1:5" ht="15.75" x14ac:dyDescent="0.25">
      <c r="A6" t="s">
        <v>30</v>
      </c>
      <c r="B6" t="s">
        <v>6</v>
      </c>
      <c r="C6" t="s">
        <v>6</v>
      </c>
      <c r="D6">
        <v>480</v>
      </c>
      <c r="E6">
        <f t="shared" si="0"/>
        <v>1260</v>
      </c>
    </row>
    <row r="7" spans="1:5" ht="15.75" x14ac:dyDescent="0.25">
      <c r="A7" t="s">
        <v>33</v>
      </c>
      <c r="B7" t="s">
        <v>6</v>
      </c>
      <c r="C7" t="s">
        <v>6</v>
      </c>
      <c r="D7">
        <v>320</v>
      </c>
      <c r="E7">
        <f t="shared" si="0"/>
        <v>1580</v>
      </c>
    </row>
    <row r="8" spans="1:5" ht="15.75" x14ac:dyDescent="0.25">
      <c r="A8" t="s">
        <v>34</v>
      </c>
      <c r="B8" t="s">
        <v>6</v>
      </c>
      <c r="C8" t="s">
        <v>6</v>
      </c>
      <c r="D8">
        <v>850</v>
      </c>
      <c r="E8">
        <f t="shared" si="0"/>
        <v>2430</v>
      </c>
    </row>
    <row r="9" spans="1:5" ht="15.75" x14ac:dyDescent="0.25">
      <c r="A9" t="s">
        <v>34</v>
      </c>
      <c r="B9" t="s">
        <v>35</v>
      </c>
      <c r="C9" t="s">
        <v>36</v>
      </c>
      <c r="D9">
        <v>150</v>
      </c>
      <c r="E9">
        <f t="shared" si="0"/>
        <v>2580</v>
      </c>
    </row>
    <row r="10" spans="1:5" ht="15.75" x14ac:dyDescent="0.25">
      <c r="A10" t="s">
        <v>34</v>
      </c>
      <c r="B10" t="s">
        <v>35</v>
      </c>
      <c r="C10" t="s">
        <v>36</v>
      </c>
      <c r="D10">
        <v>150</v>
      </c>
      <c r="E10">
        <f t="shared" si="0"/>
        <v>2730</v>
      </c>
    </row>
    <row r="11" spans="1:5" ht="15.75" x14ac:dyDescent="0.25">
      <c r="A11" t="s">
        <v>37</v>
      </c>
      <c r="B11" t="s">
        <v>6</v>
      </c>
      <c r="C11" t="s">
        <v>6</v>
      </c>
      <c r="D11">
        <v>200</v>
      </c>
      <c r="E11">
        <f t="shared" si="0"/>
        <v>2930</v>
      </c>
    </row>
    <row r="12" spans="1:5" ht="15.75" x14ac:dyDescent="0.25">
      <c r="A12" t="s">
        <v>37</v>
      </c>
      <c r="B12" t="s">
        <v>31</v>
      </c>
      <c r="C12" t="s">
        <v>38</v>
      </c>
      <c r="D12">
        <v>120</v>
      </c>
      <c r="E12">
        <f t="shared" si="0"/>
        <v>3050</v>
      </c>
    </row>
    <row r="13" spans="1:5" ht="15.75" x14ac:dyDescent="0.25">
      <c r="A13" t="s">
        <v>39</v>
      </c>
      <c r="B13" t="s">
        <v>6</v>
      </c>
      <c r="C13" t="s">
        <v>6</v>
      </c>
      <c r="D13">
        <v>350</v>
      </c>
      <c r="E13">
        <f t="shared" si="0"/>
        <v>3400</v>
      </c>
    </row>
    <row r="14" spans="1:5" ht="15.75" x14ac:dyDescent="0.25">
      <c r="A14" t="s">
        <v>40</v>
      </c>
      <c r="B14" t="s">
        <v>41</v>
      </c>
      <c r="C14" t="s">
        <v>42</v>
      </c>
      <c r="D14">
        <v>70</v>
      </c>
      <c r="E14">
        <f t="shared" si="0"/>
        <v>3470</v>
      </c>
    </row>
    <row r="15" spans="1:5" ht="15.75" x14ac:dyDescent="0.25">
      <c r="A15" t="s">
        <v>43</v>
      </c>
      <c r="B15" t="s">
        <v>6</v>
      </c>
      <c r="C15" t="s">
        <v>6</v>
      </c>
      <c r="D15">
        <v>835</v>
      </c>
      <c r="E15">
        <f t="shared" si="0"/>
        <v>4305</v>
      </c>
    </row>
    <row r="16" spans="1:5" ht="15.75" x14ac:dyDescent="0.25">
      <c r="A16" t="s">
        <v>44</v>
      </c>
      <c r="B16" t="s">
        <v>35</v>
      </c>
      <c r="C16" t="s">
        <v>36</v>
      </c>
      <c r="D16">
        <v>150</v>
      </c>
      <c r="E16">
        <f t="shared" si="0"/>
        <v>4455</v>
      </c>
    </row>
    <row r="17" spans="1:5" ht="15.75" x14ac:dyDescent="0.25">
      <c r="A17" t="s">
        <v>44</v>
      </c>
      <c r="B17" t="s">
        <v>6</v>
      </c>
      <c r="C17" t="s">
        <v>6</v>
      </c>
      <c r="D17">
        <v>830</v>
      </c>
      <c r="E17">
        <f t="shared" si="0"/>
        <v>5285</v>
      </c>
    </row>
    <row r="18" spans="1:5" ht="15.75" x14ac:dyDescent="0.25">
      <c r="A18" t="s">
        <v>45</v>
      </c>
      <c r="B18" t="s">
        <v>35</v>
      </c>
      <c r="C18" t="s">
        <v>46</v>
      </c>
      <c r="D18">
        <v>390</v>
      </c>
      <c r="E18">
        <f t="shared" si="0"/>
        <v>5675</v>
      </c>
    </row>
    <row r="19" spans="1:5" ht="15.75" x14ac:dyDescent="0.25">
      <c r="A19" t="s">
        <v>45</v>
      </c>
      <c r="B19" t="s">
        <v>6</v>
      </c>
      <c r="C19" t="s">
        <v>6</v>
      </c>
      <c r="D19">
        <v>580</v>
      </c>
      <c r="E19">
        <f t="shared" si="0"/>
        <v>6255</v>
      </c>
    </row>
    <row r="20" spans="1:5" ht="15.75" x14ac:dyDescent="0.25">
      <c r="A20" t="s">
        <v>47</v>
      </c>
      <c r="B20" t="s">
        <v>48</v>
      </c>
      <c r="C20" t="s">
        <v>49</v>
      </c>
      <c r="D20">
        <v>2580</v>
      </c>
      <c r="E20">
        <f t="shared" si="0"/>
        <v>8835</v>
      </c>
    </row>
    <row r="21" spans="1:5" ht="15.75" x14ac:dyDescent="0.25">
      <c r="A21" t="s">
        <v>47</v>
      </c>
      <c r="B21" t="s">
        <v>31</v>
      </c>
      <c r="C21" t="s">
        <v>38</v>
      </c>
      <c r="D21">
        <v>420</v>
      </c>
      <c r="E21">
        <f t="shared" si="0"/>
        <v>9255</v>
      </c>
    </row>
    <row r="22" spans="1:5" ht="15.75" x14ac:dyDescent="0.25">
      <c r="A22" t="s">
        <v>47</v>
      </c>
      <c r="B22" t="s">
        <v>6</v>
      </c>
      <c r="C22" t="s">
        <v>6</v>
      </c>
      <c r="D22">
        <v>1170</v>
      </c>
      <c r="E22">
        <f t="shared" si="0"/>
        <v>10425</v>
      </c>
    </row>
    <row r="23" spans="1:5" ht="15.75" x14ac:dyDescent="0.25">
      <c r="A23" t="s">
        <v>50</v>
      </c>
      <c r="B23" t="s">
        <v>6</v>
      </c>
      <c r="C23" t="s">
        <v>6</v>
      </c>
      <c r="D23">
        <v>335</v>
      </c>
      <c r="E23">
        <f t="shared" si="0"/>
        <v>10760</v>
      </c>
    </row>
    <row r="25" spans="1:5" ht="15.75" x14ac:dyDescent="0.25">
      <c r="A25" t="s">
        <v>51</v>
      </c>
      <c r="B25" t="s">
        <v>6</v>
      </c>
      <c r="C25" t="s">
        <v>6</v>
      </c>
      <c r="D25">
        <f>SUM(D4:D23)</f>
        <v>10760</v>
      </c>
      <c r="E25" t="s">
        <v>6</v>
      </c>
    </row>
  </sheetData>
  <pageMargins left="0.7" right="0.7" top="0.75" bottom="0.75" header="0.3" footer="0.3"/>
  <ignoredErrors>
    <ignoredError sqref="A1:E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activeCell="A16" sqref="A16"/>
    </sheetView>
  </sheetViews>
  <sheetFormatPr defaultRowHeight="15" x14ac:dyDescent="0.25"/>
  <cols>
    <col min="1" max="1" width="68.875" bestFit="1" customWidth="1"/>
    <col min="2" max="2" width="20.875" customWidth="1"/>
  </cols>
  <sheetData>
    <row r="1" spans="1:2" ht="15.75" x14ac:dyDescent="0.25">
      <c r="A1" t="s">
        <v>52</v>
      </c>
    </row>
    <row r="3" spans="1:2" ht="15.75" x14ac:dyDescent="0.25">
      <c r="A3" t="s">
        <v>53</v>
      </c>
      <c r="B3" t="s">
        <v>19</v>
      </c>
    </row>
    <row r="4" spans="1:2" ht="15.75" x14ac:dyDescent="0.25">
      <c r="A4" t="s">
        <v>54</v>
      </c>
      <c r="B4">
        <v>1700</v>
      </c>
    </row>
    <row r="5" spans="1:2" ht="15.75" x14ac:dyDescent="0.25">
      <c r="A5" t="s">
        <v>55</v>
      </c>
      <c r="B5">
        <v>460</v>
      </c>
    </row>
    <row r="7" spans="1:2" ht="15.75" x14ac:dyDescent="0.25">
      <c r="A7" t="s">
        <v>56</v>
      </c>
      <c r="B7">
        <v>7369.99</v>
      </c>
    </row>
    <row r="8" spans="1:2" ht="15.75" x14ac:dyDescent="0.25">
      <c r="A8" t="s">
        <v>57</v>
      </c>
      <c r="B8" t="s">
        <v>6</v>
      </c>
    </row>
    <row r="10" spans="1:2" ht="15.75" x14ac:dyDescent="0.25">
      <c r="A10" t="s">
        <v>4</v>
      </c>
    </row>
    <row r="11" spans="1:2" ht="15.75" x14ac:dyDescent="0.25">
      <c r="A11" t="s">
        <v>58</v>
      </c>
    </row>
    <row r="12" spans="1:2" ht="15.75" x14ac:dyDescent="0.25">
      <c r="A12" t="s">
        <v>59</v>
      </c>
    </row>
    <row r="13" spans="1:2" ht="15.75" x14ac:dyDescent="0.25">
      <c r="A13" t="s">
        <v>60</v>
      </c>
    </row>
  </sheetData>
  <pageMargins left="0.7" right="0.7" top="0.75" bottom="0.75" header="0.3" footer="0.3"/>
  <ignoredErrors>
    <ignoredError sqref="A1: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Upkeep</vt:lpstr>
      <vt:lpstr>Costs to Date — Zeeman</vt:lpstr>
      <vt:lpstr>Costs to Date — Stew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stewart bailie</cp:lastModifiedBy>
  <dcterms:modified xsi:type="dcterms:W3CDTF">2026-04-29T22:50:31Z</dcterms:modified>
</cp:coreProperties>
</file>